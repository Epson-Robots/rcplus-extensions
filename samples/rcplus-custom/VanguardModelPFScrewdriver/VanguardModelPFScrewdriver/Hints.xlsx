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MSDev\Atlas\All\RoboticsShared\Extensions\RCPlusUserPlugin\SEC-Extensions\VanguardModelPFScrewdriver\"/>
    </mc:Choice>
  </mc:AlternateContent>
  <xr:revisionPtr revIDLastSave="0" documentId="13_ncr:1_{24C46C6A-72CF-4CCC-A379-27BD761C26DC}" xr6:coauthVersionLast="47" xr6:coauthVersionMax="47" xr10:uidLastSave="{00000000-0000-0000-0000-000000000000}"/>
  <bookViews>
    <workbookView xWindow="-120" yWindow="-120" windowWidth="22680" windowHeight="12420" activeTab="2" xr2:uid="{00000000-000D-0000-FFFF-FFFF00000000}"/>
  </bookViews>
  <sheets>
    <sheet name="Hints" sheetId="1" r:id="rId1"/>
    <sheet name="README(ja)" sheetId="2" r:id="rId2"/>
    <sheet name="README(en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5" i="1"/>
  <c r="E33" i="1"/>
  <c r="E32" i="1"/>
  <c r="E31" i="1"/>
</calcChain>
</file>

<file path=xl/sharedStrings.xml><?xml version="1.0" encoding="utf-8"?>
<sst xmlns="http://schemas.openxmlformats.org/spreadsheetml/2006/main" count="210" uniqueCount="104">
  <si>
    <t>ID</t>
    <phoneticPr fontId="1"/>
  </si>
  <si>
    <t>ToolType</t>
    <phoneticPr fontId="1"/>
  </si>
  <si>
    <t>Mode</t>
    <phoneticPr fontId="1"/>
  </si>
  <si>
    <t>Min</t>
    <phoneticPr fontId="1"/>
  </si>
  <si>
    <t>Max</t>
    <phoneticPr fontId="1"/>
  </si>
  <si>
    <t>Format</t>
    <phoneticPr fontId="1"/>
  </si>
  <si>
    <t>ProgramName</t>
    <phoneticPr fontId="1"/>
  </si>
  <si>
    <t>Torque</t>
    <phoneticPr fontId="1"/>
  </si>
  <si>
    <t>StepTurns</t>
    <phoneticPr fontId="1"/>
  </si>
  <si>
    <t>StepSpeed</t>
    <phoneticPr fontId="1"/>
  </si>
  <si>
    <t>TighteningStartDetectionAmount</t>
    <phoneticPr fontId="1"/>
  </si>
  <si>
    <t>TighteningTorqueUpDetectionTime</t>
    <phoneticPr fontId="1"/>
  </si>
  <si>
    <t>TighteningPermissibleTurnsBelow</t>
    <phoneticPr fontId="1"/>
  </si>
  <si>
    <t>TighteningPermissibleTurnsAbove</t>
    <phoneticPr fontId="1"/>
  </si>
  <si>
    <t>TightenningFurtherTighteningAngle</t>
    <phoneticPr fontId="1"/>
  </si>
  <si>
    <t>TightentingFurtherTighteningAngleForProtruding</t>
  </si>
  <si>
    <t>TighteningTorqueThresholdToChangeSpeed</t>
    <phoneticPr fontId="1"/>
  </si>
  <si>
    <t>SamplingAngle</t>
    <phoneticPr fontId="1"/>
  </si>
  <si>
    <t>TorqueAdjustRate</t>
    <phoneticPr fontId="1"/>
  </si>
  <si>
    <t>WindowStartTurn</t>
    <phoneticPr fontId="1"/>
  </si>
  <si>
    <t>WindowEndTurn</t>
    <phoneticPr fontId="1"/>
  </si>
  <si>
    <t>WindowTorqueWidth</t>
    <phoneticPr fontId="1"/>
  </si>
  <si>
    <t>Factor</t>
    <phoneticPr fontId="1"/>
  </si>
  <si>
    <t>F</t>
    <phoneticPr fontId="1"/>
  </si>
  <si>
    <t>S</t>
    <phoneticPr fontId="1"/>
  </si>
  <si>
    <t>L</t>
    <phoneticPr fontId="1"/>
  </si>
  <si>
    <t>XL</t>
    <phoneticPr fontId="1"/>
  </si>
  <si>
    <t>GM</t>
    <phoneticPr fontId="1"/>
  </si>
  <si>
    <t>GX</t>
    <phoneticPr fontId="1"/>
  </si>
  <si>
    <t>N</t>
    <phoneticPr fontId="1"/>
  </si>
  <si>
    <t>WindowTorqueAtStart=Torque</t>
    <phoneticPr fontId="1"/>
  </si>
  <si>
    <t>WindowTorqueAtEnd=Torque</t>
    <phoneticPr fontId="1"/>
  </si>
  <si>
    <t>TightentingSpeedAfterChanged=StepSpeed</t>
    <phoneticPr fontId="1"/>
  </si>
  <si>
    <t>TigtheningInitialTappingTorque=Torque</t>
    <phoneticPr fontId="1"/>
  </si>
  <si>
    <t>.+</t>
    <phoneticPr fontId="1"/>
  </si>
  <si>
    <t>[TF]</t>
    <phoneticPr fontId="1"/>
  </si>
  <si>
    <t>([SL]|XL)</t>
    <phoneticPr fontId="1"/>
  </si>
  <si>
    <t>G[MX]</t>
    <phoneticPr fontId="1"/>
  </si>
  <si>
    <t>[NT]</t>
    <phoneticPr fontId="1"/>
  </si>
  <si>
    <t>ProgramNameHint</t>
    <phoneticPr fontId="1"/>
  </si>
  <si>
    <t>"[{0}] – [{1}] {2}"</t>
    <phoneticPr fontId="1"/>
  </si>
  <si>
    <t>"[{0}] – [{1}]"</t>
    <phoneticPr fontId="1"/>
  </si>
  <si>
    <t>Unit</t>
    <phoneticPr fontId="1"/>
  </si>
  <si>
    <t>Torque</t>
    <phoneticPr fontId="1"/>
  </si>
  <si>
    <t>"[{0}] – [{1}] °"</t>
    <phoneticPr fontId="1"/>
  </si>
  <si>
    <t>"[{0}] – [{1}] rpm"</t>
    <phoneticPr fontId="1"/>
  </si>
  <si>
    <t>"[{0}] – [{1}] sec"</t>
    <phoneticPr fontId="1"/>
  </si>
  <si>
    <t>"[{0}] – [{1}] %"</t>
    <phoneticPr fontId="1"/>
  </si>
  <si>
    <t>L</t>
    <phoneticPr fontId="1"/>
  </si>
  <si>
    <t>XL</t>
    <phoneticPr fontId="1"/>
  </si>
  <si>
    <t>GM</t>
    <phoneticPr fontId="1"/>
  </si>
  <si>
    <t>GX</t>
    <phoneticPr fontId="1"/>
  </si>
  <si>
    <t>対最大トルク</t>
    <rPh sb="0" eb="1">
      <t>タイ</t>
    </rPh>
    <rPh sb="1" eb="3">
      <t>サイダイ</t>
    </rPh>
    <phoneticPr fontId="1"/>
  </si>
  <si>
    <t>このファイルについて</t>
    <phoneticPr fontId="1"/>
  </si>
  <si>
    <t>・「プログラム編集」ダイアログ</t>
    <rPh sb="7" eb="9">
      <t>ヘンシュウ</t>
    </rPh>
    <phoneticPr fontId="1"/>
  </si>
  <si>
    <t>・「ウィンドウ設定」ダイアログ</t>
    <rPh sb="7" eb="9">
      <t>セッテイ</t>
    </rPh>
    <phoneticPr fontId="1"/>
  </si>
  <si>
    <t>「Hints」シートの記述は、generateHints.py スクリプトを使って、Resources/Hints.json に変換され、</t>
    <rPh sb="11" eb="13">
      <t>キジュツ</t>
    </rPh>
    <rPh sb="38" eb="39">
      <t>ツカ</t>
    </rPh>
    <rPh sb="64" eb="66">
      <t>ヘンカン</t>
    </rPh>
    <phoneticPr fontId="1"/>
  </si>
  <si>
    <t>Extension で読み込まれます。</t>
    <rPh sb="11" eb="12">
      <t>ヨ</t>
    </rPh>
    <rPh sb="13" eb="14">
      <t>コ</t>
    </rPh>
    <phoneticPr fontId="1"/>
  </si>
  <si>
    <t>&gt; python generateHints.py</t>
    <phoneticPr fontId="1"/>
  </si>
  <si>
    <t>「Hints」シートの記述を更新したときは、プロジェクトフォルダをカレントディレクトリとして、</t>
    <rPh sb="11" eb="13">
      <t>キジュツ</t>
    </rPh>
    <rPh sb="14" eb="16">
      <t>コウシン</t>
    </rPh>
    <phoneticPr fontId="1"/>
  </si>
  <si>
    <t>以下のコマンドを実行してください。</t>
  </si>
  <si>
    <t>「Hints」シートのフィールドについて</t>
    <phoneticPr fontId="1"/>
  </si>
  <si>
    <t>ヒントとは、以下のダイアログにおいて、値の編集時に、注意事項や可能な値の範囲を示す情報です。</t>
    <rPh sb="6" eb="8">
      <t>イカ</t>
    </rPh>
    <rPh sb="19" eb="20">
      <t>アタイ</t>
    </rPh>
    <rPh sb="21" eb="24">
      <t>ヘンシュウジ</t>
    </rPh>
    <rPh sb="26" eb="30">
      <t>チュウイジコウ</t>
    </rPh>
    <rPh sb="31" eb="33">
      <t>カノウ</t>
    </rPh>
    <rPh sb="34" eb="35">
      <t>アタイ</t>
    </rPh>
    <rPh sb="36" eb="38">
      <t>ハンイ</t>
    </rPh>
    <rPh sb="39" eb="40">
      <t>シメ</t>
    </rPh>
    <rPh sb="41" eb="43">
      <t>ジョウホウ</t>
    </rPh>
    <phoneticPr fontId="1"/>
  </si>
  <si>
    <t>ヒントは、class Hint のインスタンスとして、対象のコントロールにアタッチされるプロパティです。</t>
    <rPh sb="27" eb="29">
      <t>タイショウ</t>
    </rPh>
    <phoneticPr fontId="1"/>
  </si>
  <si>
    <t>ヒントの識別子です。=で、別の ID が指定されている場合は、エイリアスを意味します。</t>
    <rPh sb="4" eb="7">
      <t>シキベツシ</t>
    </rPh>
    <rPh sb="13" eb="14">
      <t>ベツ</t>
    </rPh>
    <rPh sb="20" eb="22">
      <t>シテイ</t>
    </rPh>
    <rPh sb="27" eb="29">
      <t>バアイ</t>
    </rPh>
    <rPh sb="37" eb="39">
      <t>イミ</t>
    </rPh>
    <phoneticPr fontId="1"/>
  </si>
  <si>
    <t>値の範囲は、ツールタイプとネジ締めモードに依存して変わります。</t>
    <rPh sb="0" eb="1">
      <t>アタイ</t>
    </rPh>
    <rPh sb="2" eb="4">
      <t>ハンイ</t>
    </rPh>
    <rPh sb="15" eb="16">
      <t>シ</t>
    </rPh>
    <rPh sb="21" eb="23">
      <t>イゾン</t>
    </rPh>
    <rPh sb="25" eb="26">
      <t>カ</t>
    </rPh>
    <phoneticPr fontId="1"/>
  </si>
  <si>
    <t>値の範囲の最小値です。</t>
    <rPh sb="0" eb="1">
      <t>アタイ</t>
    </rPh>
    <rPh sb="2" eb="4">
      <t>ハンイ</t>
    </rPh>
    <rPh sb="5" eb="8">
      <t>サイショウチ</t>
    </rPh>
    <phoneticPr fontId="1"/>
  </si>
  <si>
    <t>値の範囲の最大値です。</t>
    <rPh sb="0" eb="1">
      <t>アタイ</t>
    </rPh>
    <rPh sb="2" eb="4">
      <t>ハンイ</t>
    </rPh>
    <rPh sb="5" eb="8">
      <t>サイダイチ</t>
    </rPh>
    <phoneticPr fontId="1"/>
  </si>
  <si>
    <t>値を、CT-CONTS のレジスタに格納する際の倍率です。</t>
    <rPh sb="0" eb="1">
      <t>アタイ</t>
    </rPh>
    <rPh sb="18" eb="20">
      <t>カクノウ</t>
    </rPh>
    <rPh sb="22" eb="23">
      <t>サイ</t>
    </rPh>
    <rPh sb="24" eb="26">
      <t>バイリツ</t>
    </rPh>
    <phoneticPr fontId="1"/>
  </si>
  <si>
    <t>ツールタイプを特定する正規表現です。
可能なツールタイプは、S / L / XL / GM / GX です。</t>
    <rPh sb="7" eb="9">
      <t>トクテイ</t>
    </rPh>
    <rPh sb="11" eb="15">
      <t>セイキヒョウゲン</t>
    </rPh>
    <rPh sb="19" eb="21">
      <t>カノウ</t>
    </rPh>
    <phoneticPr fontId="1"/>
  </si>
  <si>
    <t>ネジ締めモードを特定する正規表現です。
可能なモードは、N （通常） / T （タッピング） / F （高速）です。</t>
    <rPh sb="2" eb="3">
      <t>シ</t>
    </rPh>
    <rPh sb="8" eb="10">
      <t>トクテイ</t>
    </rPh>
    <rPh sb="12" eb="16">
      <t>セイキヒョウゲン</t>
    </rPh>
    <rPh sb="20" eb="22">
      <t>カノウ</t>
    </rPh>
    <rPh sb="31" eb="33">
      <t>ツウジョウ</t>
    </rPh>
    <rPh sb="52" eb="54">
      <t>コウソク</t>
    </rPh>
    <phoneticPr fontId="1"/>
  </si>
  <si>
    <t>特殊な処理が必要な場合に、それを示します。
現在は、トルク値であることを示す Torque だけが定義されています。</t>
    <rPh sb="0" eb="2">
      <t>トクシュ</t>
    </rPh>
    <rPh sb="3" eb="5">
      <t>ショリ</t>
    </rPh>
    <rPh sb="6" eb="8">
      <t>ヒツヨウ</t>
    </rPh>
    <rPh sb="9" eb="11">
      <t>バアイ</t>
    </rPh>
    <rPh sb="16" eb="17">
      <t>シメ</t>
    </rPh>
    <rPh sb="22" eb="24">
      <t>ゲンザイ</t>
    </rPh>
    <rPh sb="29" eb="30">
      <t>チ</t>
    </rPh>
    <rPh sb="36" eb="37">
      <t>シメ</t>
    </rPh>
    <rPh sb="49" eb="51">
      <t>テイギ</t>
    </rPh>
    <phoneticPr fontId="1"/>
  </si>
  <si>
    <t>ヒント欄に表示する文字列の書式です。
{0} は Min、{1} は Max、{2} は単位に対応します。</t>
    <rPh sb="3" eb="4">
      <t>ラン</t>
    </rPh>
    <rPh sb="5" eb="7">
      <t>ヒョウジ</t>
    </rPh>
    <rPh sb="9" eb="12">
      <t>モジレツ</t>
    </rPh>
    <rPh sb="13" eb="15">
      <t>ショシキ</t>
    </rPh>
    <rPh sb="44" eb="46">
      <t>タンイ</t>
    </rPh>
    <rPh sb="47" eb="49">
      <t>タイオウ</t>
    </rPh>
    <phoneticPr fontId="1"/>
  </si>
  <si>
    <t>注意</t>
    <rPh sb="0" eb="2">
      <t>チュウイ</t>
    </rPh>
    <phoneticPr fontId="1"/>
  </si>
  <si>
    <t>ウィンドウのトルク幅（WindowTorqueWidth）は、通信仕様書上はツールタイプに依存しないのですが、</t>
    <rPh sb="9" eb="10">
      <t>ハバ</t>
    </rPh>
    <rPh sb="31" eb="36">
      <t>ツウシンシヨウショ</t>
    </rPh>
    <rPh sb="36" eb="37">
      <t>ジョウ</t>
    </rPh>
    <rPh sb="45" eb="47">
      <t>イゾン</t>
    </rPh>
    <phoneticPr fontId="1"/>
  </si>
  <si>
    <t>実機および ProE-Expert での挙動は異なっています。</t>
    <rPh sb="0" eb="2">
      <t>ジッキ</t>
    </rPh>
    <rPh sb="20" eb="22">
      <t>キョドウ</t>
    </rPh>
    <rPh sb="23" eb="24">
      <t>コト</t>
    </rPh>
    <phoneticPr fontId="1"/>
  </si>
  <si>
    <t>この一定の割合は、セル J31 に定義されています。</t>
    <rPh sb="2" eb="4">
      <t>イッテイ</t>
    </rPh>
    <rPh sb="5" eb="7">
      <t>ワリアイ</t>
    </rPh>
    <rPh sb="17" eb="19">
      <t>テイギ</t>
    </rPh>
    <phoneticPr fontId="1"/>
  </si>
  <si>
    <t>Extension の実装としては、最小を 1 とし、最大は、最大トルクの一定の割合の値を用いることにしました。</t>
    <rPh sb="11" eb="13">
      <t>ジッソウ</t>
    </rPh>
    <rPh sb="18" eb="20">
      <t>サイショウ</t>
    </rPh>
    <rPh sb="27" eb="29">
      <t>サイダイ</t>
    </rPh>
    <rPh sb="31" eb="33">
      <t>サイダイ</t>
    </rPh>
    <rPh sb="37" eb="39">
      <t>イッテイ</t>
    </rPh>
    <rPh sb="40" eb="42">
      <t>ワリアイ</t>
    </rPh>
    <rPh sb="43" eb="44">
      <t>アタイ</t>
    </rPh>
    <rPh sb="45" eb="46">
      <t>モチ</t>
    </rPh>
    <phoneticPr fontId="1"/>
  </si>
  <si>
    <t>About This File</t>
    <phoneticPr fontId="1"/>
  </si>
  <si>
    <t>A hint is information displayed while editing a value in the following dialogs to indicate precautions and valid value ranges.</t>
  </si>
  <si>
    <r>
      <t>Window Settings</t>
    </r>
    <r>
      <rPr>
        <sz val="11"/>
        <color theme="1"/>
        <rFont val="Segoe UI"/>
        <family val="2"/>
      </rPr>
      <t xml:space="preserve"> dialog</t>
    </r>
  </si>
  <si>
    <r>
      <t xml:space="preserve">Edit Program </t>
    </r>
    <r>
      <rPr>
        <sz val="11"/>
        <color theme="1"/>
        <rFont val="Segoe UI"/>
        <family val="2"/>
      </rPr>
      <t>dialog</t>
    </r>
    <phoneticPr fontId="1"/>
  </si>
  <si>
    <r>
      <t xml:space="preserve">Hints are attached to the target controls as instances of the </t>
    </r>
    <r>
      <rPr>
        <sz val="10"/>
        <color theme="1"/>
        <rFont val="Arial Unicode MS"/>
        <family val="2"/>
      </rPr>
      <t>Hint</t>
    </r>
    <r>
      <rPr>
        <sz val="11"/>
        <color theme="1"/>
        <rFont val="Segoe UI"/>
        <family val="2"/>
      </rPr>
      <t xml:space="preserve"> class.</t>
    </r>
  </si>
  <si>
    <t>The valid value range depends on the tool type and tightening mode.</t>
  </si>
  <si>
    <r>
      <t xml:space="preserve">The contents of the </t>
    </r>
    <r>
      <rPr>
        <b/>
        <sz val="11"/>
        <color theme="1"/>
        <rFont val="Segoe UI"/>
        <family val="2"/>
      </rPr>
      <t>Hints</t>
    </r>
    <r>
      <rPr>
        <sz val="11"/>
        <color theme="1"/>
        <rFont val="Segoe UI"/>
        <family val="2"/>
      </rPr>
      <t xml:space="preserve"> sheet are converted into </t>
    </r>
    <r>
      <rPr>
        <sz val="10"/>
        <color theme="1"/>
        <rFont val="Arial Unicode MS"/>
        <family val="2"/>
      </rPr>
      <t>Resources/Hints.json</t>
    </r>
    <r>
      <rPr>
        <sz val="11"/>
        <color theme="1"/>
        <rFont val="Segoe UI"/>
        <family val="2"/>
      </rPr>
      <t xml:space="preserve"> by the </t>
    </r>
    <r>
      <rPr>
        <sz val="10"/>
        <color theme="1"/>
        <rFont val="Arial Unicode MS"/>
        <family val="2"/>
      </rPr>
      <t>generateHints.py</t>
    </r>
  </si>
  <si>
    <t>script and loaded by the Extension.</t>
  </si>
  <si>
    <r>
      <t xml:space="preserve">When you update the contents of the </t>
    </r>
    <r>
      <rPr>
        <b/>
        <sz val="11"/>
        <color theme="1"/>
        <rFont val="Segoe UI"/>
        <family val="2"/>
      </rPr>
      <t>Hints</t>
    </r>
    <r>
      <rPr>
        <sz val="11"/>
        <color theme="1"/>
        <rFont val="Segoe UI"/>
        <family val="2"/>
      </rPr>
      <t xml:space="preserve"> sheet, set the project folder as the current directory and</t>
    </r>
  </si>
  <si>
    <t>run the following command:</t>
  </si>
  <si>
    <t>Fields in the "Hints" Sheet</t>
  </si>
  <si>
    <t>The identifier of the hint. If another ID is specified with =, it indicates an alias.</t>
    <phoneticPr fontId="1"/>
  </si>
  <si>
    <t>A regular expression used to identify the tool type.
Possible tool types are: S / L / XL / GM / GX</t>
    <phoneticPr fontId="1"/>
  </si>
  <si>
    <t>A regular expression used to identify the tightening mode.
Possible modes are: N (Normal) / T (Tapping) / F (Fast)</t>
    <phoneticPr fontId="1"/>
  </si>
  <si>
    <t>The minimum value of the valid range.</t>
    <phoneticPr fontId="1"/>
  </si>
  <si>
    <t>The maximum value of the valid range.</t>
    <phoneticPr fontId="1"/>
  </si>
  <si>
    <t>The scaling factor applied when storing the value in a CT-CONTS register.</t>
    <phoneticPr fontId="1"/>
  </si>
  <si>
    <t>Indicates that special processing is required.
Currently, only Torque is defined, which indicates that the value represents torque.</t>
    <phoneticPr fontId="1"/>
  </si>
  <si>
    <t>The format string displayed in the hint area.
{0} corresponds to Min
{1} corresponds to Max
{2} corresponds to the unit</t>
    <phoneticPr fontId="1"/>
  </si>
  <si>
    <t>Notes</t>
    <phoneticPr fontId="1"/>
  </si>
  <si>
    <r>
      <t>Although the torque window width (</t>
    </r>
    <r>
      <rPr>
        <sz val="10"/>
        <color theme="1"/>
        <rFont val="Arial Unicode MS"/>
        <family val="2"/>
      </rPr>
      <t>WindowTorqueWidth</t>
    </r>
    <r>
      <rPr>
        <sz val="11"/>
        <color theme="1"/>
        <rFont val="Segoe UI"/>
        <family val="2"/>
      </rPr>
      <t>) is not dependent on the tool type according to the communication specification,</t>
    </r>
    <phoneticPr fontId="1"/>
  </si>
  <si>
    <t>the behavior of actual devices and ProE-Expert differs.</t>
    <phoneticPr fontId="1"/>
  </si>
  <si>
    <t>For the Extension implementation, we decided to use:</t>
  </si>
  <si>
    <r>
      <t xml:space="preserve">a minimum value of </t>
    </r>
    <r>
      <rPr>
        <b/>
        <sz val="11"/>
        <color theme="1"/>
        <rFont val="Segoe UI"/>
        <family val="2"/>
      </rPr>
      <t>1</t>
    </r>
  </si>
  <si>
    <t>a maximum value calculated as a fixed percentage of the maximum torque</t>
  </si>
  <si>
    <r>
      <t xml:space="preserve">This percentage is defined in cell </t>
    </r>
    <r>
      <rPr>
        <b/>
        <sz val="11"/>
        <color theme="1"/>
        <rFont val="Segoe UI"/>
        <family val="2"/>
      </rPr>
      <t>J31</t>
    </r>
    <r>
      <rPr>
        <sz val="11"/>
        <color theme="1"/>
        <rFont val="Segoe U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</si>
</sst>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opLeftCell="A22" workbookViewId="0">
      <selection activeCell="J31" sqref="J31"/>
    </sheetView>
  </sheetViews>
  <sheetFormatPr defaultRowHeight="15.75"/>
  <cols>
    <col min="1" max="1" width="50.375" style="1" bestFit="1" customWidth="1"/>
    <col min="2" max="2" width="20" style="1" customWidth="1"/>
    <col min="3" max="3" width="12.25" style="1" customWidth="1"/>
    <col min="4" max="7" width="9" style="1"/>
    <col min="8" max="8" width="35.125" style="1" customWidth="1"/>
    <col min="9" max="9" width="25.375" style="1" customWidth="1"/>
    <col min="10" max="16384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42</v>
      </c>
      <c r="H1" s="1" t="s">
        <v>5</v>
      </c>
    </row>
    <row r="2" spans="1:8">
      <c r="A2" s="1" t="s">
        <v>6</v>
      </c>
      <c r="B2" s="1" t="s">
        <v>34</v>
      </c>
      <c r="C2" s="1" t="s">
        <v>34</v>
      </c>
      <c r="D2" s="1">
        <v>0</v>
      </c>
      <c r="E2" s="1">
        <v>16</v>
      </c>
      <c r="H2" s="1" t="s">
        <v>39</v>
      </c>
    </row>
    <row r="3" spans="1:8">
      <c r="A3" s="1" t="s">
        <v>7</v>
      </c>
      <c r="B3" s="1" t="s">
        <v>24</v>
      </c>
      <c r="C3" s="1" t="s">
        <v>29</v>
      </c>
      <c r="D3" s="1">
        <v>150</v>
      </c>
      <c r="E3" s="1">
        <v>450</v>
      </c>
      <c r="F3" s="1">
        <v>10</v>
      </c>
      <c r="G3" s="1" t="s">
        <v>43</v>
      </c>
      <c r="H3" s="1" t="s">
        <v>40</v>
      </c>
    </row>
    <row r="4" spans="1:8">
      <c r="A4" s="1" t="s">
        <v>7</v>
      </c>
      <c r="B4" s="1" t="s">
        <v>24</v>
      </c>
      <c r="C4" s="1" t="s">
        <v>35</v>
      </c>
      <c r="D4" s="1">
        <v>100</v>
      </c>
      <c r="E4" s="1">
        <v>450</v>
      </c>
      <c r="F4" s="1">
        <v>10</v>
      </c>
      <c r="G4" s="1" t="s">
        <v>43</v>
      </c>
      <c r="H4" s="1" t="s">
        <v>40</v>
      </c>
    </row>
    <row r="5" spans="1:8">
      <c r="A5" s="1" t="s">
        <v>7</v>
      </c>
      <c r="B5" s="1" t="s">
        <v>25</v>
      </c>
      <c r="C5" s="1" t="s">
        <v>29</v>
      </c>
      <c r="D5" s="1">
        <v>500</v>
      </c>
      <c r="E5" s="1">
        <v>1800</v>
      </c>
      <c r="F5" s="1">
        <v>10</v>
      </c>
      <c r="G5" s="1" t="s">
        <v>43</v>
      </c>
      <c r="H5" s="1" t="s">
        <v>40</v>
      </c>
    </row>
    <row r="6" spans="1:8">
      <c r="A6" s="1" t="s">
        <v>7</v>
      </c>
      <c r="B6" s="1" t="s">
        <v>25</v>
      </c>
      <c r="C6" s="1" t="s">
        <v>35</v>
      </c>
      <c r="D6" s="1">
        <v>300</v>
      </c>
      <c r="E6" s="1">
        <v>1800</v>
      </c>
      <c r="F6" s="1">
        <v>10</v>
      </c>
      <c r="G6" s="1" t="s">
        <v>43</v>
      </c>
      <c r="H6" s="1" t="s">
        <v>40</v>
      </c>
    </row>
    <row r="7" spans="1:8">
      <c r="A7" s="1" t="s">
        <v>7</v>
      </c>
      <c r="B7" s="1" t="s">
        <v>26</v>
      </c>
      <c r="C7" s="1" t="s">
        <v>34</v>
      </c>
      <c r="D7" s="1">
        <v>150</v>
      </c>
      <c r="E7" s="1">
        <v>7000</v>
      </c>
      <c r="F7" s="1">
        <v>10</v>
      </c>
      <c r="G7" s="1" t="s">
        <v>43</v>
      </c>
      <c r="H7" s="1" t="s">
        <v>40</v>
      </c>
    </row>
    <row r="8" spans="1:8">
      <c r="A8" s="1" t="s">
        <v>7</v>
      </c>
      <c r="B8" s="1" t="s">
        <v>27</v>
      </c>
      <c r="C8" s="1" t="s">
        <v>34</v>
      </c>
      <c r="D8" s="1">
        <v>4000</v>
      </c>
      <c r="E8" s="1">
        <v>18000</v>
      </c>
      <c r="F8" s="1">
        <v>10</v>
      </c>
      <c r="G8" s="1" t="s">
        <v>43</v>
      </c>
      <c r="H8" s="1" t="s">
        <v>40</v>
      </c>
    </row>
    <row r="9" spans="1:8">
      <c r="A9" s="1" t="s">
        <v>7</v>
      </c>
      <c r="B9" s="1" t="s">
        <v>28</v>
      </c>
      <c r="C9" s="1" t="s">
        <v>34</v>
      </c>
      <c r="D9" s="1">
        <v>13000</v>
      </c>
      <c r="E9" s="1">
        <v>32000</v>
      </c>
      <c r="F9" s="1">
        <v>10</v>
      </c>
      <c r="G9" s="1" t="s">
        <v>43</v>
      </c>
      <c r="H9" s="1" t="s">
        <v>40</v>
      </c>
    </row>
    <row r="10" spans="1:8">
      <c r="A10" s="1" t="s">
        <v>8</v>
      </c>
      <c r="B10" s="1" t="s">
        <v>34</v>
      </c>
      <c r="C10" s="1" t="s">
        <v>34</v>
      </c>
      <c r="D10" s="1">
        <v>1</v>
      </c>
      <c r="E10" s="1">
        <v>200</v>
      </c>
      <c r="F10" s="1">
        <v>10</v>
      </c>
      <c r="H10" s="1" t="s">
        <v>41</v>
      </c>
    </row>
    <row r="11" spans="1:8">
      <c r="A11" s="1" t="s">
        <v>9</v>
      </c>
      <c r="B11" s="1" t="s">
        <v>36</v>
      </c>
      <c r="C11" s="1" t="s">
        <v>38</v>
      </c>
      <c r="D11" s="1">
        <v>10</v>
      </c>
      <c r="E11" s="1">
        <v>1000</v>
      </c>
      <c r="H11" s="1" t="s">
        <v>45</v>
      </c>
    </row>
    <row r="12" spans="1:8">
      <c r="A12" s="1" t="s">
        <v>9</v>
      </c>
      <c r="B12" s="1" t="s">
        <v>36</v>
      </c>
      <c r="C12" s="1" t="s">
        <v>23</v>
      </c>
      <c r="D12" s="1">
        <v>10</v>
      </c>
      <c r="E12" s="1">
        <v>1500</v>
      </c>
      <c r="H12" s="1" t="s">
        <v>45</v>
      </c>
    </row>
    <row r="13" spans="1:8">
      <c r="A13" s="1" t="s">
        <v>9</v>
      </c>
      <c r="B13" s="1" t="s">
        <v>37</v>
      </c>
      <c r="C13" s="1" t="s">
        <v>38</v>
      </c>
      <c r="D13" s="1">
        <v>10</v>
      </c>
      <c r="E13" s="1">
        <v>300</v>
      </c>
      <c r="H13" s="1" t="s">
        <v>45</v>
      </c>
    </row>
    <row r="14" spans="1:8">
      <c r="A14" s="1" t="s">
        <v>9</v>
      </c>
      <c r="B14" s="1" t="s">
        <v>37</v>
      </c>
      <c r="C14" s="1" t="s">
        <v>23</v>
      </c>
      <c r="D14" s="1">
        <v>10</v>
      </c>
      <c r="E14" s="1">
        <v>400</v>
      </c>
      <c r="H14" s="1" t="s">
        <v>45</v>
      </c>
    </row>
    <row r="15" spans="1:8">
      <c r="A15" s="1" t="s">
        <v>10</v>
      </c>
      <c r="B15" s="1" t="s">
        <v>34</v>
      </c>
      <c r="C15" s="1" t="s">
        <v>34</v>
      </c>
      <c r="D15" s="1">
        <v>0</v>
      </c>
      <c r="E15" s="1">
        <v>100</v>
      </c>
      <c r="F15" s="1">
        <v>10</v>
      </c>
      <c r="G15" s="1" t="s">
        <v>43</v>
      </c>
      <c r="H15" s="1" t="s">
        <v>40</v>
      </c>
    </row>
    <row r="16" spans="1:8">
      <c r="A16" s="1" t="s">
        <v>33</v>
      </c>
    </row>
    <row r="17" spans="1:10">
      <c r="A17" s="1" t="s">
        <v>11</v>
      </c>
      <c r="B17" s="1" t="s">
        <v>34</v>
      </c>
      <c r="C17" s="1" t="s">
        <v>34</v>
      </c>
      <c r="D17" s="1">
        <v>0</v>
      </c>
      <c r="E17" s="1">
        <v>100</v>
      </c>
      <c r="F17" s="1">
        <v>100</v>
      </c>
      <c r="H17" s="1" t="s">
        <v>46</v>
      </c>
    </row>
    <row r="18" spans="1:10">
      <c r="A18" s="1" t="s">
        <v>12</v>
      </c>
      <c r="B18" s="1" t="s">
        <v>34</v>
      </c>
      <c r="C18" s="1" t="s">
        <v>34</v>
      </c>
      <c r="D18" s="1">
        <v>-200</v>
      </c>
      <c r="E18" s="1">
        <v>0</v>
      </c>
      <c r="F18" s="1">
        <v>10</v>
      </c>
      <c r="H18" s="1" t="s">
        <v>41</v>
      </c>
    </row>
    <row r="19" spans="1:10">
      <c r="A19" s="1" t="s">
        <v>13</v>
      </c>
      <c r="B19" s="1" t="s">
        <v>34</v>
      </c>
      <c r="C19" s="1" t="s">
        <v>34</v>
      </c>
      <c r="D19" s="1">
        <v>0</v>
      </c>
      <c r="E19" s="1">
        <v>200</v>
      </c>
      <c r="F19" s="1">
        <v>10</v>
      </c>
      <c r="H19" s="1" t="s">
        <v>41</v>
      </c>
    </row>
    <row r="20" spans="1:10">
      <c r="A20" s="1" t="s">
        <v>14</v>
      </c>
      <c r="B20" s="1" t="s">
        <v>34</v>
      </c>
      <c r="C20" s="1" t="s">
        <v>34</v>
      </c>
      <c r="D20" s="1">
        <v>-3600</v>
      </c>
      <c r="E20" s="1">
        <v>3600</v>
      </c>
      <c r="F20" s="1">
        <v>10</v>
      </c>
      <c r="H20" s="1" t="s">
        <v>44</v>
      </c>
    </row>
    <row r="21" spans="1:10">
      <c r="A21" s="1" t="s">
        <v>15</v>
      </c>
      <c r="B21" s="1" t="s">
        <v>34</v>
      </c>
      <c r="C21" s="1" t="s">
        <v>34</v>
      </c>
      <c r="D21" s="1">
        <v>0</v>
      </c>
      <c r="E21" s="1">
        <v>3600</v>
      </c>
      <c r="F21" s="1">
        <v>10</v>
      </c>
      <c r="H21" s="1" t="s">
        <v>44</v>
      </c>
    </row>
    <row r="22" spans="1:10">
      <c r="A22" s="1" t="s">
        <v>16</v>
      </c>
      <c r="B22" s="1" t="s">
        <v>34</v>
      </c>
      <c r="C22" s="1" t="s">
        <v>34</v>
      </c>
      <c r="D22" s="1">
        <v>0</v>
      </c>
      <c r="E22" s="1">
        <v>1000</v>
      </c>
      <c r="F22" s="1">
        <v>10</v>
      </c>
      <c r="H22" s="1" t="s">
        <v>47</v>
      </c>
    </row>
    <row r="23" spans="1:10">
      <c r="A23" s="1" t="s">
        <v>32</v>
      </c>
    </row>
    <row r="25" spans="1:10">
      <c r="A25" s="1" t="s">
        <v>17</v>
      </c>
      <c r="B25" s="1" t="s">
        <v>34</v>
      </c>
      <c r="C25" s="1" t="s">
        <v>34</v>
      </c>
      <c r="D25" s="1">
        <v>0</v>
      </c>
      <c r="E25" s="1">
        <v>360</v>
      </c>
      <c r="H25" s="1" t="s">
        <v>44</v>
      </c>
    </row>
    <row r="26" spans="1:10">
      <c r="A26" s="1" t="s">
        <v>18</v>
      </c>
      <c r="B26" s="1" t="s">
        <v>34</v>
      </c>
      <c r="C26" s="1" t="s">
        <v>34</v>
      </c>
      <c r="D26" s="1">
        <v>-10</v>
      </c>
      <c r="E26" s="1">
        <v>10</v>
      </c>
      <c r="H26" s="1" t="s">
        <v>47</v>
      </c>
    </row>
    <row r="27" spans="1:10">
      <c r="A27" s="1" t="s">
        <v>19</v>
      </c>
      <c r="B27" s="1" t="s">
        <v>34</v>
      </c>
      <c r="C27" s="1" t="s">
        <v>34</v>
      </c>
      <c r="D27" s="1">
        <v>0</v>
      </c>
      <c r="E27" s="1">
        <v>198</v>
      </c>
      <c r="F27" s="1">
        <v>10</v>
      </c>
      <c r="H27" s="1" t="s">
        <v>41</v>
      </c>
    </row>
    <row r="28" spans="1:10">
      <c r="A28" s="1" t="s">
        <v>20</v>
      </c>
      <c r="B28" s="1" t="s">
        <v>34</v>
      </c>
      <c r="C28" s="1" t="s">
        <v>34</v>
      </c>
      <c r="D28" s="1">
        <v>2</v>
      </c>
      <c r="E28" s="1">
        <v>200</v>
      </c>
      <c r="F28" s="1">
        <v>10</v>
      </c>
      <c r="H28" s="1" t="s">
        <v>41</v>
      </c>
    </row>
    <row r="29" spans="1:10">
      <c r="A29" s="1" t="s">
        <v>30</v>
      </c>
    </row>
    <row r="30" spans="1:10">
      <c r="A30" s="1" t="s">
        <v>31</v>
      </c>
    </row>
    <row r="31" spans="1:10">
      <c r="A31" s="1" t="s">
        <v>21</v>
      </c>
      <c r="B31" s="1" t="s">
        <v>24</v>
      </c>
      <c r="C31" s="1" t="s">
        <v>34</v>
      </c>
      <c r="D31" s="1">
        <v>1</v>
      </c>
      <c r="E31" s="1">
        <f>E3*$J$31</f>
        <v>225</v>
      </c>
      <c r="F31" s="1">
        <v>10</v>
      </c>
      <c r="G31" s="1" t="s">
        <v>43</v>
      </c>
      <c r="H31" s="1" t="s">
        <v>40</v>
      </c>
      <c r="I31" s="1" t="s">
        <v>52</v>
      </c>
      <c r="J31" s="1">
        <v>0.5</v>
      </c>
    </row>
    <row r="32" spans="1:10">
      <c r="A32" s="1" t="s">
        <v>21</v>
      </c>
      <c r="B32" s="1" t="s">
        <v>48</v>
      </c>
      <c r="C32" s="1" t="s">
        <v>34</v>
      </c>
      <c r="D32" s="1">
        <v>1</v>
      </c>
      <c r="E32" s="1">
        <f>E5*$J$31</f>
        <v>900</v>
      </c>
      <c r="F32" s="1">
        <v>10</v>
      </c>
      <c r="G32" s="1" t="s">
        <v>7</v>
      </c>
      <c r="H32" s="1" t="s">
        <v>40</v>
      </c>
    </row>
    <row r="33" spans="1:8">
      <c r="A33" s="1" t="s">
        <v>21</v>
      </c>
      <c r="B33" s="1" t="s">
        <v>49</v>
      </c>
      <c r="C33" s="1" t="s">
        <v>34</v>
      </c>
      <c r="D33" s="1">
        <v>1</v>
      </c>
      <c r="E33" s="1">
        <f>E7*$J$31</f>
        <v>3500</v>
      </c>
      <c r="F33" s="1">
        <v>10</v>
      </c>
      <c r="G33" s="1" t="s">
        <v>7</v>
      </c>
      <c r="H33" s="1" t="s">
        <v>40</v>
      </c>
    </row>
    <row r="34" spans="1:8">
      <c r="A34" s="1" t="s">
        <v>21</v>
      </c>
      <c r="B34" s="1" t="s">
        <v>50</v>
      </c>
      <c r="C34" s="1" t="s">
        <v>34</v>
      </c>
      <c r="D34" s="1">
        <v>1</v>
      </c>
      <c r="E34" s="1">
        <f>E8*$J$31</f>
        <v>9000</v>
      </c>
      <c r="F34" s="1">
        <v>10</v>
      </c>
      <c r="G34" s="1" t="s">
        <v>7</v>
      </c>
      <c r="H34" s="1" t="s">
        <v>40</v>
      </c>
    </row>
    <row r="35" spans="1:8">
      <c r="A35" s="1" t="s">
        <v>21</v>
      </c>
      <c r="B35" s="1" t="s">
        <v>51</v>
      </c>
      <c r="C35" s="1" t="s">
        <v>34</v>
      </c>
      <c r="D35" s="1">
        <v>1</v>
      </c>
      <c r="E35" s="1">
        <f t="shared" ref="E35" si="0">E9*$J$31</f>
        <v>16000</v>
      </c>
      <c r="F35" s="1">
        <v>10</v>
      </c>
      <c r="G35" s="1" t="s">
        <v>7</v>
      </c>
      <c r="H35" s="1" t="s">
        <v>40</v>
      </c>
    </row>
  </sheetData>
  <phoneticPr fontId="1"/>
  <pageMargins left="0.7" right="0.7" top="0.75" bottom="0.75" header="0.3" footer="0.3"/>
  <headerFooter>
    <oddFooter>&amp;L_x000D_&amp;1#&amp;"Aptos"&amp;10&amp;K000000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7CAC-B61D-4454-8F3A-A2B0E632D68F}">
  <dimension ref="B2:E30"/>
  <sheetViews>
    <sheetView topLeftCell="A23" workbookViewId="0">
      <selection activeCell="B2" sqref="B2:E30"/>
    </sheetView>
  </sheetViews>
  <sheetFormatPr defaultRowHeight="18.75"/>
  <cols>
    <col min="1" max="1" width="9" style="2"/>
    <col min="2" max="2" width="5.375" style="2" customWidth="1"/>
    <col min="3" max="3" width="5.5" style="2" customWidth="1"/>
    <col min="4" max="4" width="6" style="2" customWidth="1"/>
    <col min="5" max="5" width="93.25" style="2" customWidth="1"/>
    <col min="6" max="16384" width="9" style="2"/>
  </cols>
  <sheetData>
    <row r="2" spans="2:4">
      <c r="B2" s="2" t="s">
        <v>53</v>
      </c>
    </row>
    <row r="3" spans="2:4">
      <c r="C3" s="2" t="s">
        <v>62</v>
      </c>
    </row>
    <row r="4" spans="2:4">
      <c r="D4" s="2" t="s">
        <v>54</v>
      </c>
    </row>
    <row r="5" spans="2:4">
      <c r="D5" s="2" t="s">
        <v>55</v>
      </c>
    </row>
    <row r="6" spans="2:4">
      <c r="C6" s="2" t="s">
        <v>63</v>
      </c>
    </row>
    <row r="7" spans="2:4">
      <c r="C7" s="2" t="s">
        <v>65</v>
      </c>
    </row>
    <row r="9" spans="2:4">
      <c r="C9" s="2" t="s">
        <v>56</v>
      </c>
    </row>
    <row r="10" spans="2:4">
      <c r="C10" s="2" t="s">
        <v>57</v>
      </c>
    </row>
    <row r="11" spans="2:4">
      <c r="C11" s="2" t="s">
        <v>59</v>
      </c>
    </row>
    <row r="12" spans="2:4">
      <c r="C12" s="2" t="s">
        <v>60</v>
      </c>
    </row>
    <row r="13" spans="2:4">
      <c r="D13" s="2" t="s">
        <v>58</v>
      </c>
    </row>
    <row r="15" spans="2:4">
      <c r="B15" s="2" t="s">
        <v>61</v>
      </c>
    </row>
    <row r="17" spans="2:5">
      <c r="C17" s="2" t="s">
        <v>0</v>
      </c>
      <c r="E17" s="2" t="s">
        <v>64</v>
      </c>
    </row>
    <row r="18" spans="2:5" ht="37.5">
      <c r="C18" s="2" t="s">
        <v>1</v>
      </c>
      <c r="E18" s="3" t="s">
        <v>69</v>
      </c>
    </row>
    <row r="19" spans="2:5" ht="37.5">
      <c r="C19" s="2" t="s">
        <v>2</v>
      </c>
      <c r="E19" s="3" t="s">
        <v>70</v>
      </c>
    </row>
    <row r="20" spans="2:5">
      <c r="C20" s="2" t="s">
        <v>3</v>
      </c>
      <c r="E20" s="2" t="s">
        <v>66</v>
      </c>
    </row>
    <row r="21" spans="2:5">
      <c r="C21" s="2" t="s">
        <v>4</v>
      </c>
      <c r="E21" s="2" t="s">
        <v>67</v>
      </c>
    </row>
    <row r="22" spans="2:5">
      <c r="C22" s="2" t="s">
        <v>22</v>
      </c>
      <c r="E22" s="2" t="s">
        <v>68</v>
      </c>
    </row>
    <row r="23" spans="2:5" ht="37.5">
      <c r="C23" s="2" t="s">
        <v>42</v>
      </c>
      <c r="E23" s="3" t="s">
        <v>71</v>
      </c>
    </row>
    <row r="24" spans="2:5" ht="37.5">
      <c r="C24" s="2" t="s">
        <v>5</v>
      </c>
      <c r="E24" s="3" t="s">
        <v>72</v>
      </c>
    </row>
    <row r="26" spans="2:5">
      <c r="B26" s="2" t="s">
        <v>73</v>
      </c>
    </row>
    <row r="27" spans="2:5">
      <c r="C27" s="2" t="s">
        <v>74</v>
      </c>
    </row>
    <row r="28" spans="2:5">
      <c r="C28" s="2" t="s">
        <v>75</v>
      </c>
    </row>
    <row r="29" spans="2:5">
      <c r="C29" s="2" t="s">
        <v>77</v>
      </c>
    </row>
    <row r="30" spans="2:5">
      <c r="C30" s="2" t="s">
        <v>76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4A6C-6FEB-4BEC-976C-56FF1574EE47}">
  <dimension ref="B2:E32"/>
  <sheetViews>
    <sheetView tabSelected="1" topLeftCell="A19" workbookViewId="0">
      <selection activeCell="E33" sqref="E33"/>
    </sheetView>
  </sheetViews>
  <sheetFormatPr defaultRowHeight="18.75"/>
  <cols>
    <col min="2" max="2" width="7" customWidth="1"/>
    <col min="3" max="3" width="6" customWidth="1"/>
    <col min="4" max="4" width="5.125" customWidth="1"/>
    <col min="5" max="5" width="86.125" customWidth="1"/>
  </cols>
  <sheetData>
    <row r="2" spans="2:5" ht="19.5">
      <c r="B2" s="2" t="s">
        <v>78</v>
      </c>
      <c r="C2" s="2"/>
      <c r="D2" s="2"/>
      <c r="E2" s="2"/>
    </row>
    <row r="3" spans="2:5" ht="19.5">
      <c r="B3" s="2"/>
      <c r="C3" s="4" t="s">
        <v>79</v>
      </c>
      <c r="D3" s="2"/>
      <c r="E3" s="2"/>
    </row>
    <row r="4" spans="2:5" ht="19.5">
      <c r="B4" s="2"/>
      <c r="C4" s="2"/>
      <c r="D4" s="5" t="s">
        <v>81</v>
      </c>
      <c r="E4" s="2"/>
    </row>
    <row r="5" spans="2:5" ht="19.5">
      <c r="B5" s="2"/>
      <c r="C5" s="2"/>
      <c r="D5" s="5" t="s">
        <v>80</v>
      </c>
      <c r="E5" s="2"/>
    </row>
    <row r="6" spans="2:5" ht="19.5">
      <c r="B6" s="2"/>
      <c r="C6" s="4" t="s">
        <v>82</v>
      </c>
      <c r="D6" s="2"/>
      <c r="E6" s="2"/>
    </row>
    <row r="7" spans="2:5" ht="19.5">
      <c r="B7" s="2"/>
      <c r="C7" s="4" t="s">
        <v>83</v>
      </c>
      <c r="D7" s="2"/>
      <c r="E7" s="2"/>
    </row>
    <row r="8" spans="2:5" ht="19.5">
      <c r="B8" s="2"/>
      <c r="C8" s="2"/>
      <c r="D8" s="2"/>
      <c r="E8" s="2"/>
    </row>
    <row r="9" spans="2:5" ht="19.5">
      <c r="B9" s="2"/>
      <c r="C9" s="4" t="s">
        <v>84</v>
      </c>
      <c r="D9" s="2"/>
      <c r="E9" s="2"/>
    </row>
    <row r="10" spans="2:5" ht="19.5">
      <c r="B10" s="2"/>
      <c r="C10" s="4" t="s">
        <v>85</v>
      </c>
      <c r="D10" s="2"/>
      <c r="E10" s="2"/>
    </row>
    <row r="11" spans="2:5" ht="19.5">
      <c r="B11" s="2"/>
      <c r="C11" s="4" t="s">
        <v>86</v>
      </c>
      <c r="D11" s="2"/>
      <c r="E11" s="2"/>
    </row>
    <row r="12" spans="2:5" ht="19.5">
      <c r="B12" s="2"/>
      <c r="C12" s="4" t="s">
        <v>87</v>
      </c>
      <c r="D12" s="2"/>
      <c r="E12" s="2"/>
    </row>
    <row r="13" spans="2:5" ht="19.5">
      <c r="B13" s="2"/>
      <c r="C13" s="2"/>
      <c r="D13" s="2" t="s">
        <v>58</v>
      </c>
      <c r="E13" s="2"/>
    </row>
    <row r="14" spans="2:5" ht="19.5">
      <c r="B14" s="2"/>
      <c r="C14" s="2"/>
      <c r="D14" s="2"/>
      <c r="E14" s="2"/>
    </row>
    <row r="15" spans="2:5" ht="19.5">
      <c r="B15" s="4" t="s">
        <v>88</v>
      </c>
      <c r="C15" s="2"/>
      <c r="D15" s="2"/>
      <c r="E15" s="2"/>
    </row>
    <row r="16" spans="2:5" ht="19.5">
      <c r="B16" s="2"/>
      <c r="C16" s="2"/>
      <c r="D16" s="2"/>
      <c r="E16" s="2"/>
    </row>
    <row r="17" spans="2:5" ht="19.5">
      <c r="B17" s="2"/>
      <c r="C17" s="2" t="s">
        <v>0</v>
      </c>
      <c r="D17" s="2"/>
      <c r="E17" s="4" t="s">
        <v>89</v>
      </c>
    </row>
    <row r="18" spans="2:5" ht="37.5">
      <c r="B18" s="2"/>
      <c r="C18" s="2" t="s">
        <v>1</v>
      </c>
      <c r="D18" s="2"/>
      <c r="E18" s="3" t="s">
        <v>90</v>
      </c>
    </row>
    <row r="19" spans="2:5" ht="37.5">
      <c r="B19" s="2"/>
      <c r="C19" s="2" t="s">
        <v>2</v>
      </c>
      <c r="D19" s="2"/>
      <c r="E19" s="3" t="s">
        <v>91</v>
      </c>
    </row>
    <row r="20" spans="2:5" ht="19.5">
      <c r="B20" s="2"/>
      <c r="C20" s="2" t="s">
        <v>3</v>
      </c>
      <c r="D20" s="2"/>
      <c r="E20" s="2" t="s">
        <v>92</v>
      </c>
    </row>
    <row r="21" spans="2:5" ht="19.5">
      <c r="B21" s="2"/>
      <c r="C21" s="2" t="s">
        <v>4</v>
      </c>
      <c r="D21" s="2"/>
      <c r="E21" s="2" t="s">
        <v>93</v>
      </c>
    </row>
    <row r="22" spans="2:5" ht="19.5">
      <c r="B22" s="2"/>
      <c r="C22" s="2" t="s">
        <v>22</v>
      </c>
      <c r="D22" s="2"/>
      <c r="E22" s="2" t="s">
        <v>94</v>
      </c>
    </row>
    <row r="23" spans="2:5" ht="37.5">
      <c r="B23" s="2"/>
      <c r="C23" s="2" t="s">
        <v>42</v>
      </c>
      <c r="D23" s="2"/>
      <c r="E23" s="3" t="s">
        <v>95</v>
      </c>
    </row>
    <row r="24" spans="2:5" ht="75">
      <c r="B24" s="2"/>
      <c r="C24" s="2" t="s">
        <v>5</v>
      </c>
      <c r="D24" s="2"/>
      <c r="E24" s="3" t="s">
        <v>96</v>
      </c>
    </row>
    <row r="25" spans="2:5" ht="19.5">
      <c r="B25" s="2"/>
      <c r="C25" s="2"/>
      <c r="D25" s="2"/>
      <c r="E25" s="2"/>
    </row>
    <row r="26" spans="2:5" ht="19.5">
      <c r="B26" s="2" t="s">
        <v>97</v>
      </c>
      <c r="C26" s="2"/>
      <c r="D26" s="2"/>
      <c r="E26" s="2"/>
    </row>
    <row r="27" spans="2:5" ht="19.5">
      <c r="B27" s="2"/>
      <c r="C27" s="4" t="s">
        <v>98</v>
      </c>
      <c r="D27" s="2"/>
      <c r="E27" s="2"/>
    </row>
    <row r="28" spans="2:5" ht="19.5">
      <c r="B28" s="2"/>
      <c r="C28" s="2" t="s">
        <v>99</v>
      </c>
      <c r="D28" s="2"/>
      <c r="E28" s="2"/>
    </row>
    <row r="29" spans="2:5" ht="19.5">
      <c r="B29" s="2"/>
      <c r="C29" s="4" t="s">
        <v>100</v>
      </c>
      <c r="D29" s="2"/>
      <c r="E29" s="2"/>
    </row>
    <row r="30" spans="2:5" ht="19.5">
      <c r="B30" s="2"/>
      <c r="C30" s="4"/>
      <c r="D30" s="4" t="s">
        <v>101</v>
      </c>
      <c r="E30" s="2"/>
    </row>
    <row r="31" spans="2:5" ht="19.5">
      <c r="B31" s="2"/>
      <c r="C31" s="4"/>
      <c r="D31" s="4" t="s">
        <v>102</v>
      </c>
      <c r="E31" s="2"/>
    </row>
    <row r="32" spans="2:5" ht="19.5">
      <c r="B32" s="2"/>
      <c r="C32" s="4" t="s">
        <v>103</v>
      </c>
      <c r="D32" s="2"/>
      <c r="E32" s="2"/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49229e1-d9eb-40cf-aa20-8039fe5d6144}" enabled="1" method="Standard" siteId="{3ce358ea-700e-4f0f-bb37-fd0b7c21366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Hints</vt:lpstr>
      <vt:lpstr>README(ja)</vt:lpstr>
      <vt:lpstr>README(en)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Matsumoto Shigeyuki</dc:creator>
  <cp:lastModifiedBy>Matsumoto Shigeyuki</cp:lastModifiedBy>
  <dcterms:created xsi:type="dcterms:W3CDTF">2015-06-05T18:17:20Z</dcterms:created>
  <dcterms:modified xsi:type="dcterms:W3CDTF">2026-09-25T00:29:58Z</dcterms:modified>
</cp:coreProperties>
</file>